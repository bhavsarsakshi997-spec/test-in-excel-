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bhavsar krunal\OneDrive\Documents\excel\"/>
    </mc:Choice>
  </mc:AlternateContent>
  <xr:revisionPtr revIDLastSave="0" documentId="13_ncr:1_{E8E61578-129C-4269-A9D6-EFFD403BC86F}" xr6:coauthVersionLast="47" xr6:coauthVersionMax="47" xr10:uidLastSave="{00000000-0000-0000-0000-000000000000}"/>
  <bookViews>
    <workbookView xWindow="11424" yWindow="0" windowWidth="11712" windowHeight="12336" firstSheet="4" activeTab="5" xr2:uid="{71044079-CC8B-471B-B8E5-A07E7DE1FD47}"/>
  </bookViews>
  <sheets>
    <sheet name="Pivot Analysis" sheetId="2" r:id="rId1"/>
    <sheet name="Dashboard" sheetId="5" r:id="rId2"/>
    <sheet name="Documentation" sheetId="6" r:id="rId3"/>
    <sheet name="Category Analysis" sheetId="3" r:id="rId4"/>
    <sheet name="Formula Analysis" sheetId="4" r:id="rId5"/>
    <sheet name="Raw Data" sheetId="1" r:id="rId6"/>
  </sheets>
  <definedNames>
    <definedName name="Slicer_Region">#N/A</definedName>
  </definedNames>
  <calcPr calcId="191029"/>
  <pivotCaches>
    <pivotCache cacheId="12"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6" i="4" l="1"/>
  <c r="C4" i="5"/>
  <c r="B4" i="5"/>
  <c r="A4" i="5"/>
  <c r="J5" i="4"/>
  <c r="J6" i="4"/>
  <c r="J7" i="4"/>
  <c r="J8" i="4"/>
  <c r="J9" i="4"/>
  <c r="J10" i="4"/>
  <c r="J11" i="4"/>
  <c r="J12" i="4"/>
  <c r="J13" i="4"/>
  <c r="J14" i="4"/>
  <c r="J15" i="4"/>
  <c r="J16" i="4"/>
  <c r="J17" i="4"/>
  <c r="J18" i="4"/>
  <c r="J19" i="4"/>
  <c r="J20" i="4"/>
  <c r="J21" i="4"/>
  <c r="J22" i="4"/>
  <c r="J23" i="4"/>
  <c r="J4" i="4"/>
  <c r="I5" i="4"/>
  <c r="I6" i="4"/>
  <c r="I7" i="4"/>
  <c r="I8" i="4"/>
  <c r="I9" i="4"/>
  <c r="I10" i="4"/>
  <c r="I11" i="4"/>
  <c r="I12" i="4"/>
  <c r="I13" i="4"/>
  <c r="I14" i="4"/>
  <c r="I15" i="4"/>
  <c r="I16" i="4"/>
  <c r="I17" i="4"/>
  <c r="I18" i="4"/>
  <c r="I19" i="4"/>
  <c r="I20" i="4"/>
  <c r="I21" i="4"/>
  <c r="I22" i="4"/>
  <c r="I23" i="4"/>
  <c r="H14" i="4"/>
  <c r="G23" i="4"/>
  <c r="H23" i="4" s="1"/>
  <c r="G5" i="4"/>
  <c r="H5" i="4" s="1"/>
  <c r="G6" i="4"/>
  <c r="H6" i="4" s="1"/>
  <c r="G7" i="4"/>
  <c r="H7" i="4" s="1"/>
  <c r="G8" i="4"/>
  <c r="H8" i="4" s="1"/>
  <c r="G9" i="4"/>
  <c r="H9" i="4" s="1"/>
  <c r="G10" i="4"/>
  <c r="H10" i="4" s="1"/>
  <c r="G11" i="4"/>
  <c r="H11" i="4" s="1"/>
  <c r="G12" i="4"/>
  <c r="H12" i="4" s="1"/>
  <c r="G13" i="4"/>
  <c r="H13" i="4" s="1"/>
  <c r="G14" i="4"/>
  <c r="G15" i="4"/>
  <c r="H15" i="4" s="1"/>
  <c r="G16" i="4"/>
  <c r="H16" i="4" s="1"/>
  <c r="G17" i="4"/>
  <c r="H17" i="4" s="1"/>
  <c r="G18" i="4"/>
  <c r="H18" i="4" s="1"/>
  <c r="G19" i="4"/>
  <c r="H19" i="4" s="1"/>
  <c r="G20" i="4"/>
  <c r="H20" i="4" s="1"/>
  <c r="G21" i="4"/>
  <c r="H21" i="4" s="1"/>
  <c r="G22" i="4"/>
  <c r="H22" i="4" s="1"/>
  <c r="I4" i="4"/>
  <c r="G4" i="4"/>
  <c r="H4" i="4"/>
  <c r="E4" i="4"/>
  <c r="E5" i="4"/>
  <c r="B5" i="4"/>
  <c r="B6" i="4"/>
  <c r="B4" i="4"/>
</calcChain>
</file>

<file path=xl/sharedStrings.xml><?xml version="1.0" encoding="utf-8"?>
<sst xmlns="http://schemas.openxmlformats.org/spreadsheetml/2006/main" count="164" uniqueCount="88">
  <si>
    <t>Task 1: Dataset Selection &amp; Import</t>
  </si>
  <si>
    <t>TransactionID</t>
  </si>
  <si>
    <t>Date</t>
  </si>
  <si>
    <t>Customer</t>
  </si>
  <si>
    <t>Region</t>
  </si>
  <si>
    <t>Product</t>
  </si>
  <si>
    <t>Category</t>
  </si>
  <si>
    <t>Quantity</t>
  </si>
  <si>
    <t>UnitPrice</t>
  </si>
  <si>
    <t>Sales</t>
  </si>
  <si>
    <t>Profit</t>
  </si>
  <si>
    <t>T001</t>
  </si>
  <si>
    <t>Amit</t>
  </si>
  <si>
    <t>West</t>
  </si>
  <si>
    <t>Laptop</t>
  </si>
  <si>
    <t>Electronics</t>
  </si>
  <si>
    <t>T002</t>
  </si>
  <si>
    <t>Neha</t>
  </si>
  <si>
    <t>East</t>
  </si>
  <si>
    <t>Mouse</t>
  </si>
  <si>
    <t>Accessories</t>
  </si>
  <si>
    <t>T003</t>
  </si>
  <si>
    <t>Rahul</t>
  </si>
  <si>
    <t>North</t>
  </si>
  <si>
    <t>Keyboard</t>
  </si>
  <si>
    <t>T004</t>
  </si>
  <si>
    <t>Priya</t>
  </si>
  <si>
    <t>South</t>
  </si>
  <si>
    <t>Monitor</t>
  </si>
  <si>
    <t>T005</t>
  </si>
  <si>
    <t>Jay</t>
  </si>
  <si>
    <t>T006</t>
  </si>
  <si>
    <t>Kiran</t>
  </si>
  <si>
    <t>Chair</t>
  </si>
  <si>
    <t>Furniture</t>
  </si>
  <si>
    <t>T007</t>
  </si>
  <si>
    <t>15-01-2026</t>
  </si>
  <si>
    <t>Meera</t>
  </si>
  <si>
    <t>Desk</t>
  </si>
  <si>
    <t>T008</t>
  </si>
  <si>
    <t>18-01-2026</t>
  </si>
  <si>
    <t>Ravi</t>
  </si>
  <si>
    <t>T009</t>
  </si>
  <si>
    <t>20-01-2026</t>
  </si>
  <si>
    <t>Anita</t>
  </si>
  <si>
    <t>T010</t>
  </si>
  <si>
    <t>22-01-2026</t>
  </si>
  <si>
    <t>Dev</t>
  </si>
  <si>
    <t>T011</t>
  </si>
  <si>
    <t>25-01-2026</t>
  </si>
  <si>
    <t>Pooja</t>
  </si>
  <si>
    <t>T012</t>
  </si>
  <si>
    <t>28-01-2026</t>
  </si>
  <si>
    <t>Arjun</t>
  </si>
  <si>
    <t>T013</t>
  </si>
  <si>
    <t>T014</t>
  </si>
  <si>
    <t>T015</t>
  </si>
  <si>
    <t>T016</t>
  </si>
  <si>
    <t>T017</t>
  </si>
  <si>
    <t>T018</t>
  </si>
  <si>
    <t>15-02-2026</t>
  </si>
  <si>
    <t>T019</t>
  </si>
  <si>
    <t>18-02-2026</t>
  </si>
  <si>
    <t>T020</t>
  </si>
  <si>
    <t>20-02-2026</t>
  </si>
  <si>
    <t>Row Labels</t>
  </si>
  <si>
    <t>Grand Total</t>
  </si>
  <si>
    <t>Sum of Sales</t>
  </si>
  <si>
    <t>Sum of Quantity</t>
  </si>
  <si>
    <t xml:space="preserve">VLOOKUP </t>
  </si>
  <si>
    <t>TOO5</t>
  </si>
  <si>
    <t>INDEX-MATCH</t>
  </si>
  <si>
    <t>Profit Status</t>
  </si>
  <si>
    <t>IF Conditions</t>
  </si>
  <si>
    <t>Performance</t>
  </si>
  <si>
    <t>SALES ANALYSIS DASHBOARD</t>
  </si>
  <si>
    <t>Total Sales</t>
  </si>
  <si>
    <t>Total Profit</t>
  </si>
  <si>
    <t>Total Transactions</t>
  </si>
  <si>
    <t>Insert Slicer</t>
  </si>
  <si>
    <t>Total Sales by Region Chart</t>
  </si>
  <si>
    <t>Sales Analysis Project</t>
  </si>
  <si>
    <t>Data Cleaning   Checked duplicates and data formats.</t>
  </si>
  <si>
    <t>Objective          Analyze sales, profit, customers, and regions.</t>
  </si>
  <si>
    <t>Pivot Tables     Region-wise and Category-wise Sales Analysis.</t>
  </si>
  <si>
    <t>Formulas          VLOOKUP, INDEX, MATCH, IF, AND, FILTER.</t>
  </si>
  <si>
    <t>Visualization      Sales by Region Chart.</t>
  </si>
  <si>
    <t>Dashboard        KPI Cards and Region 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</si>
</sst>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2"/>
      <color theme="1"/>
      <name val="Aptos Narrow"/>
      <family val="2"/>
      <scheme val="minor"/>
    </font>
    <font>
      <b/>
      <sz val="14"/>
      <color theme="1"/>
      <name val="Aptos Narrow"/>
      <family val="2"/>
      <scheme val="minor"/>
    </font>
    <font>
      <sz val="8"/>
      <name val="Aptos Narrow"/>
      <family val="2"/>
      <scheme val="minor"/>
    </font>
    <font>
      <sz val="10"/>
      <color theme="1"/>
      <name val="Arial Unicode MS"/>
      <family val="2"/>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horizontal="center"/>
    </xf>
    <xf numFmtId="0" fontId="0" fillId="0" borderId="0" xfId="0" applyAlignment="1">
      <alignment horizontal="center"/>
    </xf>
    <xf numFmtId="0" fontId="2" fillId="0" borderId="0" xfId="0" applyFont="1" applyAlignment="1">
      <alignment horizontal="center"/>
    </xf>
    <xf numFmtId="0" fontId="3" fillId="0" borderId="0" xfId="0" applyFont="1" applyAlignment="1">
      <alignment horizontal="center"/>
    </xf>
    <xf numFmtId="14" fontId="0" fillId="0" borderId="0" xfId="0" applyNumberFormat="1"/>
    <xf numFmtId="0" fontId="2" fillId="0" borderId="0" xfId="0" applyFont="1" applyAlignment="1">
      <alignment horizontal="center" vertical="center"/>
    </xf>
    <xf numFmtId="0" fontId="3" fillId="0" borderId="0" xfId="0" applyFont="1" applyAlignment="1">
      <alignment horizontal="center"/>
    </xf>
    <xf numFmtId="14" fontId="2" fillId="0" borderId="0" xfId="0" applyNumberFormat="1" applyFont="1" applyAlignment="1">
      <alignment horizontal="center" vertic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1" fillId="0" borderId="0" xfId="0" applyFont="1" applyAlignment="1">
      <alignment horizontal="center"/>
    </xf>
    <xf numFmtId="0" fontId="2" fillId="0" borderId="0" xfId="0" applyFont="1" applyAlignment="1">
      <alignment horizontal="center"/>
    </xf>
    <xf numFmtId="14" fontId="3" fillId="0" borderId="0" xfId="0" applyNumberFormat="1" applyFont="1" applyAlignment="1">
      <alignment horizontal="center"/>
    </xf>
    <xf numFmtId="0" fontId="0" fillId="0" borderId="0" xfId="0" applyAlignment="1">
      <alignment horizontal="left" indent="1"/>
    </xf>
    <xf numFmtId="14" fontId="0" fillId="0" borderId="0" xfId="0" applyNumberFormat="1" applyAlignment="1">
      <alignment horizontal="left" indent="1"/>
    </xf>
    <xf numFmtId="0" fontId="5" fillId="0" borderId="0" xfId="0" applyFont="1" applyAlignment="1">
      <alignment vertical="center"/>
    </xf>
    <xf numFmtId="0" fontId="3" fillId="0" borderId="0" xfId="0" applyFont="1"/>
  </cellXfs>
  <cellStyles count="1">
    <cellStyle name="Normal" xfId="0" builtinId="0"/>
  </cellStyles>
  <dxfs count="19">
    <dxf>
      <font>
        <b/>
        <i val="0"/>
        <strike val="0"/>
        <condense val="0"/>
        <extend val="0"/>
        <outline val="0"/>
        <shadow val="0"/>
        <u val="none"/>
        <vertAlign val="baseline"/>
        <sz val="12"/>
        <color theme="1"/>
        <name val="Aptos Narrow"/>
        <family val="2"/>
        <scheme val="minor"/>
      </font>
    </dxf>
    <dxf>
      <font>
        <color rgb="FF006100"/>
      </font>
      <fill>
        <patternFill>
          <bgColor rgb="FFC6EFCE"/>
        </patternFill>
      </fill>
    </dxf>
    <dxf>
      <font>
        <b/>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[test in excel.xlsx]Pivot Analysis!PivotTable1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a:t>
            </a:r>
            <a:r>
              <a:rPr lang="en-US" sz="1600" b="1" baseline="0"/>
              <a:t>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Analysis'!$A$4:$A$10</c:f>
              <c:multiLvlStrCache>
                <c:ptCount val="5"/>
                <c:lvl>
                  <c:pt idx="0">
                    <c:v>15-01-2026</c:v>
                  </c:pt>
                  <c:pt idx="1">
                    <c:v>18-02-2026</c:v>
                  </c:pt>
                  <c:pt idx="2">
                    <c:v>25-01-2026</c:v>
                  </c:pt>
                  <c:pt idx="3">
                    <c:v>5/1/2026</c:v>
                  </c:pt>
                  <c:pt idx="4">
                    <c:v>8/2/2026</c:v>
                  </c:pt>
                </c:lvl>
                <c:lvl>
                  <c:pt idx="0">
                    <c:v>North</c:v>
                  </c:pt>
                </c:lvl>
              </c:multiLvlStrCache>
            </c:multiLvlStrRef>
          </c:cat>
          <c:val>
            <c:numRef>
              <c:f>'Pivot Analysis'!$B$4:$B$10</c:f>
              <c:numCache>
                <c:formatCode>General</c:formatCode>
                <c:ptCount val="5"/>
                <c:pt idx="0">
                  <c:v>16000</c:v>
                </c:pt>
                <c:pt idx="1">
                  <c:v>24000</c:v>
                </c:pt>
                <c:pt idx="2">
                  <c:v>7000</c:v>
                </c:pt>
                <c:pt idx="3">
                  <c:v>3600</c:v>
                </c:pt>
                <c:pt idx="4">
                  <c:v>90000</c:v>
                </c:pt>
              </c:numCache>
            </c:numRef>
          </c:val>
          <c:extLst>
            <c:ext xmlns:c16="http://schemas.microsoft.com/office/drawing/2014/chart" uri="{C3380CC4-5D6E-409C-BE32-E72D297353CC}">
              <c16:uniqueId val="{00000000-260A-4901-95D0-47EBB4241561}"/>
            </c:ext>
          </c:extLst>
        </c:ser>
        <c:dLbls>
          <c:dLblPos val="outEnd"/>
          <c:showLegendKey val="0"/>
          <c:showVal val="1"/>
          <c:showCatName val="0"/>
          <c:showSerName val="0"/>
          <c:showPercent val="0"/>
          <c:showBubbleSize val="0"/>
        </c:dLbls>
        <c:gapWidth val="219"/>
        <c:overlap val="-27"/>
        <c:axId val="128425343"/>
        <c:axId val="283591679"/>
      </c:barChart>
      <c:catAx>
        <c:axId val="12842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591679"/>
        <c:crosses val="autoZero"/>
        <c:auto val="1"/>
        <c:lblAlgn val="ctr"/>
        <c:lblOffset val="100"/>
        <c:noMultiLvlLbl val="0"/>
      </c:catAx>
      <c:valAx>
        <c:axId val="28359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2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[test in excel.xlsx]Category Analysis!PivotTable2</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'Category Analysis'!$B$3</c:f>
              <c:strCache>
                <c:ptCount val="1"/>
                <c:pt idx="0">
                  <c:v>Sum of Sales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'Category Analysis'!$A$4:$A$7</c:f>
              <c:strCache>
                <c:ptCount val="3"/>
                <c:pt idx="0">
                  <c:v>Accessories</c:v>
                </c:pt>
                <c:pt idx="1">
                  <c:v>Electronics</c:v>
                </c:pt>
                <c:pt idx="2">
                  <c:v>Furniture</c:v>
                </c:pt>
              </c:strCache>
            </c:strRef>
          </c:cat>
          <c:val>
            <c:numRef>
              <c:f>'Category Analysis'!$B$4:$B$7</c:f>
              <c:numCache>
                <c:formatCode>General</c:formatCode>
                <c:ptCount val="3"/>
                <c:pt idx="0">
                  <c:v>3600</c:v>
                </c:pt>
                <c:pt idx="1">
                  <c:v>114000</c:v>
                </c:pt>
                <c:pt idx="2">
                  <c:v>23000</c:v>
                </c:pt>
              </c:numCache>
            </c:numRef>
          </c:val>
          <c:extLst>
            <c:ext xmlns:c16="http://schemas.microsoft.com/office/drawing/2014/chart" uri="{C3380CC4-5D6E-409C-BE32-E72D297353CC}">
              <c16:uniqueId val="{00000000-3B5C-4877-A0BC-7260A59DA0A7}"/>
            </c:ext>
          </c:extLst>
        </c:ser>
        <c:ser>
          <c:idx val="1"/>
          <c:order val="1"/>
          <c:tx>
            <c:strRef>
              <c:f>'Category Analysis'!$C$3</c:f>
              <c:strCache>
                <c:ptCount val="1"/>
                <c:pt idx="0">
                  <c:v>Sum of Quantity</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'Category Analysis'!$A$4:$A$7</c:f>
              <c:strCache>
                <c:ptCount val="3"/>
                <c:pt idx="0">
                  <c:v>Accessories</c:v>
                </c:pt>
                <c:pt idx="1">
                  <c:v>Electronics</c:v>
                </c:pt>
                <c:pt idx="2">
                  <c:v>Furniture</c:v>
                </c:pt>
              </c:strCache>
            </c:strRef>
          </c:cat>
          <c:val>
            <c:numRef>
              <c:f>'Category Analysis'!$C$4:$C$7</c:f>
              <c:numCache>
                <c:formatCode>General</c:formatCode>
                <c:ptCount val="3"/>
                <c:pt idx="0">
                  <c:v>3</c:v>
                </c:pt>
                <c:pt idx="1">
                  <c:v>4</c:v>
                </c:pt>
                <c:pt idx="2">
                  <c:v>4</c:v>
                </c:pt>
              </c:numCache>
            </c:numRef>
          </c:val>
          <c:extLst>
            <c:ext xmlns:c16="http://schemas.microsoft.com/office/drawing/2014/chart" uri="{C3380CC4-5D6E-409C-BE32-E72D297353CC}">
              <c16:uniqueId val="{00000001-3B5C-4877-A0BC-7260A59DA0A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76206</xdr:colOff>
      <xdr:row>10</xdr:row>
      <xdr:rowOff>148590</xdr:rowOff>
    </xdr:from>
    <xdr:to>
      <xdr:col>7</xdr:col>
      <xdr:colOff>91440</xdr:colOff>
      <xdr:row>26</xdr:row>
      <xdr:rowOff>129540</xdr:rowOff>
    </xdr:to>
    <xdr:graphicFrame macro="">
      <xdr:nvGraphicFramePr>
        <xdr:cNvPr id="3" name="Chart 2">
          <a:extLst>
            <a:ext uri="{FF2B5EF4-FFF2-40B4-BE49-F238E27FC236}">
              <a16:creationId xmlns:a16="http://schemas.microsoft.com/office/drawing/2014/main" id="{1FF212BF-3023-BAAD-1587-ECF976D06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68580</xdr:colOff>
      <xdr:row>1</xdr:row>
      <xdr:rowOff>152401</xdr:rowOff>
    </xdr:from>
    <xdr:to>
      <xdr:col>6</xdr:col>
      <xdr:colOff>76200</xdr:colOff>
      <xdr:row>10</xdr:row>
      <xdr:rowOff>60961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7DC14450-0CC4-7611-C820-3E21E17CD0E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92680" y="381001"/>
              <a:ext cx="183642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8</xdr:row>
      <xdr:rowOff>22860</xdr:rowOff>
    </xdr:from>
    <xdr:to>
      <xdr:col>3</xdr:col>
      <xdr:colOff>259080</xdr:colOff>
      <xdr:row>18</xdr:row>
      <xdr:rowOff>45720</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C51D04E2-6CBB-4123-A1D0-A9699A89E5A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6200" y="1562100"/>
              <a:ext cx="3284220" cy="1851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8</xdr:row>
      <xdr:rowOff>102870</xdr:rowOff>
    </xdr:from>
    <xdr:to>
      <xdr:col>6</xdr:col>
      <xdr:colOff>121920</xdr:colOff>
      <xdr:row>23</xdr:row>
      <xdr:rowOff>102870</xdr:rowOff>
    </xdr:to>
    <xdr:graphicFrame macro="">
      <xdr:nvGraphicFramePr>
        <xdr:cNvPr id="2" name="Chart 1">
          <a:extLst>
            <a:ext uri="{FF2B5EF4-FFF2-40B4-BE49-F238E27FC236}">
              <a16:creationId xmlns:a16="http://schemas.microsoft.com/office/drawing/2014/main" id="{533824F6-4932-7B0C-7828-7B53140085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vsar krunal" refreshedDate="46323.417047800926" createdVersion="8" refreshedVersion="8" minRefreshableVersion="3" recordCount="20" xr:uid="{61704627-533A-4C6A-949C-B733B48F0369}">
  <cacheSource type="worksheet">
    <worksheetSource name="tblTransactions"/>
  </cacheSource>
  <cacheFields count="10">
    <cacheField name="TransactionID" numFmtId="0">
      <sharedItems/>
    </cacheField>
    <cacheField name="Date" numFmtId="14">
      <sharedItems containsDate="1" containsMixedTypes="1" minDate="2026-01-01T00:00:00" maxDate="2026-12-03T00:00:00" count="20">
        <d v="2026-01-01T00:00:00"/>
        <d v="2026-03-01T00:00:00"/>
        <d v="2026-05-01T00:00:00"/>
        <d v="2026-08-01T00:00:00"/>
        <d v="2026-10-01T00:00:00"/>
        <d v="2026-12-01T00:00:00"/>
        <s v="15-01-2026"/>
        <s v="18-01-2026"/>
        <s v="20-01-2026"/>
        <s v="22-01-2026"/>
        <s v="25-01-2026"/>
        <s v="28-01-2026"/>
        <d v="2026-02-02T00:00:00"/>
        <d v="2026-05-02T00:00:00"/>
        <d v="2026-08-02T00:00:00"/>
        <d v="2026-10-02T00:00:00"/>
        <d v="2026-12-02T00:00:00"/>
        <s v="15-02-2026"/>
        <s v="18-02-2026"/>
        <s v="20-02-2026"/>
      </sharedItems>
    </cacheField>
    <cacheField name="Customer" numFmtId="0">
      <sharedItems/>
    </cacheField>
    <cacheField name="Region" numFmtId="0">
      <sharedItems count="4">
        <s v="West"/>
        <s v="East"/>
        <s v="North"/>
        <s v="South"/>
      </sharedItems>
    </cacheField>
    <cacheField name="Product" numFmtId="0">
      <sharedItems/>
    </cacheField>
    <cacheField name="Category" numFmtId="0">
      <sharedItems count="3">
        <s v="Electronics"/>
        <s v="Accessories"/>
        <s v="Furniture"/>
      </sharedItems>
    </cacheField>
    <cacheField name="Quantity" numFmtId="0">
      <sharedItems containsSemiMixedTypes="0" containsString="0" containsNumber="1" containsInteger="1" minValue="1" maxValue="8"/>
    </cacheField>
    <cacheField name="UnitPrice" numFmtId="0">
      <sharedItems containsSemiMixedTypes="0" containsString="0" containsNumber="1" containsInteger="1" minValue="500" maxValue="45000"/>
    </cacheField>
    <cacheField name="Sales" numFmtId="0">
      <sharedItems containsSemiMixedTypes="0" containsString="0" containsNumber="1" containsInteger="1" minValue="2500" maxValue="90000"/>
    </cacheField>
    <cacheField name="Profit" numFmtId="0">
      <sharedItems containsSemiMixedTypes="0" containsString="0" containsNumber="1" containsInteger="1" minValue="500" maxValue="14000"/>
    </cacheField>
  </cacheFields>
  <extLst>
    <ext xmlns:x14="http://schemas.microsoft.com/office/spreadsheetml/2009/9/main" uri="{725AE2AE-9491-48be-B2B4-4EB974FC3084}">
      <x14:pivotCacheDefinition pivotCacheId="14852833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T001"/>
    <x v="0"/>
    <s v="Amit"/>
    <x v="0"/>
    <s v="Laptop"/>
    <x v="0"/>
    <n v="2"/>
    <n v="45000"/>
    <n v="90000"/>
    <n v="12000"/>
  </r>
  <r>
    <s v="T002"/>
    <x v="1"/>
    <s v="Neha"/>
    <x v="1"/>
    <s v="Mouse"/>
    <x v="1"/>
    <n v="5"/>
    <n v="500"/>
    <n v="2500"/>
    <n v="500"/>
  </r>
  <r>
    <s v="T003"/>
    <x v="2"/>
    <s v="Rahul"/>
    <x v="2"/>
    <s v="Keyboard"/>
    <x v="1"/>
    <n v="3"/>
    <n v="1200"/>
    <n v="3600"/>
    <n v="900"/>
  </r>
  <r>
    <s v="T004"/>
    <x v="3"/>
    <s v="Priya"/>
    <x v="3"/>
    <s v="Monitor"/>
    <x v="0"/>
    <n v="2"/>
    <n v="12000"/>
    <n v="24000"/>
    <n v="4000"/>
  </r>
  <r>
    <s v="T005"/>
    <x v="4"/>
    <s v="Jay"/>
    <x v="0"/>
    <s v="Laptop"/>
    <x v="0"/>
    <n v="1"/>
    <n v="45000"/>
    <n v="45000"/>
    <n v="6000"/>
  </r>
  <r>
    <s v="T006"/>
    <x v="5"/>
    <s v="Kiran"/>
    <x v="1"/>
    <s v="Chair"/>
    <x v="2"/>
    <n v="4"/>
    <n v="3500"/>
    <n v="14000"/>
    <n v="2800"/>
  </r>
  <r>
    <s v="T007"/>
    <x v="6"/>
    <s v="Meera"/>
    <x v="2"/>
    <s v="Desk"/>
    <x v="2"/>
    <n v="2"/>
    <n v="8000"/>
    <n v="16000"/>
    <n v="3200"/>
  </r>
  <r>
    <s v="T008"/>
    <x v="7"/>
    <s v="Ravi"/>
    <x v="3"/>
    <s v="Mouse"/>
    <x v="1"/>
    <n v="6"/>
    <n v="500"/>
    <n v="3000"/>
    <n v="600"/>
  </r>
  <r>
    <s v="T009"/>
    <x v="8"/>
    <s v="Anita"/>
    <x v="0"/>
    <s v="Monitor"/>
    <x v="0"/>
    <n v="3"/>
    <n v="12000"/>
    <n v="36000"/>
    <n v="6000"/>
  </r>
  <r>
    <s v="T010"/>
    <x v="9"/>
    <s v="Dev"/>
    <x v="1"/>
    <s v="Laptop"/>
    <x v="0"/>
    <n v="1"/>
    <n v="45000"/>
    <n v="45000"/>
    <n v="7000"/>
  </r>
  <r>
    <s v="T011"/>
    <x v="10"/>
    <s v="Pooja"/>
    <x v="2"/>
    <s v="Chair"/>
    <x v="2"/>
    <n v="2"/>
    <n v="3500"/>
    <n v="7000"/>
    <n v="1400"/>
  </r>
  <r>
    <s v="T012"/>
    <x v="11"/>
    <s v="Arjun"/>
    <x v="3"/>
    <s v="Desk"/>
    <x v="2"/>
    <n v="1"/>
    <n v="8000"/>
    <n v="8000"/>
    <n v="1600"/>
  </r>
  <r>
    <s v="T013"/>
    <x v="12"/>
    <s v="Amit"/>
    <x v="0"/>
    <s v="Keyboard"/>
    <x v="1"/>
    <n v="4"/>
    <n v="1200"/>
    <n v="4800"/>
    <n v="1200"/>
  </r>
  <r>
    <s v="T014"/>
    <x v="13"/>
    <s v="Neha"/>
    <x v="1"/>
    <s v="Monitor"/>
    <x v="0"/>
    <n v="1"/>
    <n v="12000"/>
    <n v="12000"/>
    <n v="2000"/>
  </r>
  <r>
    <s v="T015"/>
    <x v="14"/>
    <s v="Rahul"/>
    <x v="2"/>
    <s v="Laptop"/>
    <x v="0"/>
    <n v="2"/>
    <n v="45000"/>
    <n v="90000"/>
    <n v="14000"/>
  </r>
  <r>
    <s v="T016"/>
    <x v="15"/>
    <s v="Priya"/>
    <x v="3"/>
    <s v="Chair"/>
    <x v="2"/>
    <n v="3"/>
    <n v="3500"/>
    <n v="10500"/>
    <n v="2100"/>
  </r>
  <r>
    <s v="T017"/>
    <x v="16"/>
    <s v="Jay"/>
    <x v="0"/>
    <s v="Desk"/>
    <x v="2"/>
    <n v="2"/>
    <n v="8000"/>
    <n v="16000"/>
    <n v="3200"/>
  </r>
  <r>
    <s v="T018"/>
    <x v="17"/>
    <s v="Kiran"/>
    <x v="1"/>
    <s v="Mouse"/>
    <x v="1"/>
    <n v="8"/>
    <n v="500"/>
    <n v="4000"/>
    <n v="800"/>
  </r>
  <r>
    <s v="T019"/>
    <x v="18"/>
    <s v="Meera"/>
    <x v="2"/>
    <s v="Monitor"/>
    <x v="0"/>
    <n v="2"/>
    <n v="12000"/>
    <n v="24000"/>
    <n v="4000"/>
  </r>
  <r>
    <s v="T020"/>
    <x v="19"/>
    <s v="Ravi"/>
    <x v="3"/>
    <s v="Keyboard"/>
    <x v="1"/>
    <n v="5"/>
    <n v="1200"/>
    <n v="6000"/>
    <n v="1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B2A43B-02A2-4C56-85E9-AFC6BC7EF79F}"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0" firstHeaderRow="1" firstDataRow="1" firstDataCol="1"/>
  <pivotFields count="10">
    <pivotField showAll="0"/>
    <pivotField axis="axisRow" showAll="0">
      <items count="21">
        <item x="6"/>
        <item x="17"/>
        <item x="7"/>
        <item x="18"/>
        <item x="8"/>
        <item x="19"/>
        <item x="9"/>
        <item x="10"/>
        <item x="11"/>
        <item x="0"/>
        <item x="12"/>
        <item x="1"/>
        <item x="2"/>
        <item x="13"/>
        <item x="3"/>
        <item x="14"/>
        <item x="4"/>
        <item x="15"/>
        <item x="5"/>
        <item x="16"/>
        <item t="default"/>
      </items>
    </pivotField>
    <pivotField showAll="0"/>
    <pivotField axis="axisRow" showAll="0">
      <items count="5">
        <item h="1" x="1"/>
        <item x="2"/>
        <item h="1" x="3"/>
        <item h="1" x="0"/>
        <item t="default"/>
      </items>
    </pivotField>
    <pivotField showAll="0"/>
    <pivotField showAll="0"/>
    <pivotField showAll="0"/>
    <pivotField showAll="0"/>
    <pivotField dataField="1" showAll="0"/>
    <pivotField showAll="0"/>
  </pivotFields>
  <rowFields count="2">
    <field x="3"/>
    <field x="1"/>
  </rowFields>
  <rowItems count="7">
    <i>
      <x v="1"/>
    </i>
    <i r="1">
      <x/>
    </i>
    <i r="1">
      <x v="3"/>
    </i>
    <i r="1">
      <x v="7"/>
    </i>
    <i r="1">
      <x v="12"/>
    </i>
    <i r="1">
      <x v="15"/>
    </i>
    <i t="grand">
      <x/>
    </i>
  </rowItems>
  <colItems count="1">
    <i/>
  </colItems>
  <dataFields count="1">
    <dataField name="Sum of Sales" fld="8"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5242AC-7D6D-4C40-AA28-036B390B3CFC}"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7" firstHeaderRow="0" firstDataRow="1" firstDataCol="1"/>
  <pivotFields count="10">
    <pivotField showAll="0"/>
    <pivotField showAll="0"/>
    <pivotField showAll="0"/>
    <pivotField showAll="0">
      <items count="5">
        <item h="1" x="1"/>
        <item x="2"/>
        <item h="1" x="3"/>
        <item h="1" x="0"/>
        <item t="default"/>
      </items>
    </pivotField>
    <pivotField showAll="0"/>
    <pivotField axis="axisRow" showAll="0">
      <items count="4">
        <item x="1"/>
        <item x="0"/>
        <item x="2"/>
        <item t="default"/>
      </items>
    </pivotField>
    <pivotField dataField="1" showAll="0"/>
    <pivotField showAll="0"/>
    <pivotField dataField="1" showAll="0"/>
    <pivotField showAll="0"/>
  </pivotFields>
  <rowFields count="1">
    <field x="5"/>
  </rowFields>
  <rowItems count="4">
    <i>
      <x/>
    </i>
    <i>
      <x v="1"/>
    </i>
    <i>
      <x v="2"/>
    </i>
    <i t="grand">
      <x/>
    </i>
  </rowItems>
  <colFields count="1">
    <field x="-2"/>
  </colFields>
  <colItems count="2">
    <i>
      <x/>
    </i>
    <i i="1">
      <x v="1"/>
    </i>
  </colItems>
  <dataFields count="2">
    <dataField name="Sum of Sales" fld="8" baseField="0" baseItem="0"/>
    <dataField name="Sum of Quantity" fld="6" baseField="0" baseItem="0"/>
  </dataFields>
  <chartFormats count="2">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4FFD54-E17B-4569-8DB3-908157156F1D}" sourceName="Region">
  <pivotTables>
    <pivotTable tabId="2" name="PivotTable1"/>
    <pivotTable tabId="3" name="PivotTable2"/>
  </pivotTables>
  <data>
    <tabular pivotCacheId="1485283342">
      <items count="4">
        <i x="1"/>
        <i x="2" s="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4099F3A-5B5C-4B9E-BD98-03BC0DC3614F}"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3F099CB-D861-41CB-92D6-3F567B76AEE6}"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5F237F0-E41B-4915-B431-D2A1720C872D}" name="Table6" displayName="Table6" ref="A3:C4" totalsRowShown="0" headerRowDxfId="0">
  <autoFilter ref="A3:C4" xr:uid="{F5F237F0-E41B-4915-B431-D2A1720C872D}"/>
  <tableColumns count="3">
    <tableColumn id="1" xr3:uid="{BC214932-F161-4E32-8494-87719712C0E7}" name="Total Sales">
      <calculatedColumnFormula>SUM(tblTransactions[Sales])</calculatedColumnFormula>
    </tableColumn>
    <tableColumn id="2" xr3:uid="{6547F6EC-7B4A-491D-B75C-5BF6D5F3F4E7}" name="Total Profit">
      <calculatedColumnFormula>SUM(tblTransactions[Profit])</calculatedColumnFormula>
    </tableColumn>
    <tableColumn id="3" xr3:uid="{E6A6BD77-8033-46C8-8B7B-04D8098F69B8}" name="Total Transactions">
      <calculatedColumnFormula>COUNTA(tblTransactions[TransactionID])</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0059AA-1F4C-4243-8082-EE777F3D055E}" name="Table2" displayName="Table2" ref="D3:E6" totalsRowShown="0" headerRowDxfId="6">
  <autoFilter ref="D3:E6" xr:uid="{CF0059AA-1F4C-4243-8082-EE777F3D055E}"/>
  <tableColumns count="2">
    <tableColumn id="1" xr3:uid="{22F0C437-50B7-4EA8-892F-BD3EC9E08645}" name="TransactionID"/>
    <tableColumn id="2" xr3:uid="{CDE13130-B4EB-45F8-ADBA-926EFEA25DB6}" name="Product">
      <calculatedColumnFormula>IFERROR(INDEX('Raw Data'!E:E,MATCH(SUBSTITUTE(D4,"O","0"),'Raw Data'!A:A,0)),"Not Found")</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BDA6713-C122-4BC4-A48D-84DE16586942}" name="Table3" displayName="Table3" ref="A3:B6" totalsRowShown="0" headerRowDxfId="3">
  <autoFilter ref="A3:B6" xr:uid="{EBDA6713-C122-4BC4-A48D-84DE16586942}"/>
  <tableColumns count="2">
    <tableColumn id="1" xr3:uid="{5CC2D3F1-562E-47AD-BF09-32009360687C}" name="TransactionID" dataDxfId="5"/>
    <tableColumn id="2" xr3:uid="{2F20CE0B-88CE-43EC-AA13-5CC7936FDB92}" name="Product" dataDxfId="4">
      <calculatedColumnFormula>VLOOKUP(A4,'Raw Data'!A:J,5,FALSE)</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DDA6AD9-20BA-4685-A7C5-9244AA57DDEC}" name="Table4" displayName="Table4" ref="G3:J23" totalsRowShown="0" headerRowDxfId="2">
  <autoFilter ref="G3:J23" xr:uid="{5DDA6AD9-20BA-4685-A7C5-9244AA57DDEC}"/>
  <tableColumns count="4">
    <tableColumn id="1" xr3:uid="{4C210B61-7742-48D1-B42F-F505ABF9F10F}" name="Profit">
      <calculatedColumnFormula>'Raw Data'!J4</calculatedColumnFormula>
    </tableColumn>
    <tableColumn id="2" xr3:uid="{2EDD54CC-E270-4A5A-AD5C-ACEF9A771CDE}" name="Profit Status">
      <calculatedColumnFormula>IF(G4&gt;=3000,"High Profit","Low Profit")</calculatedColumnFormula>
    </tableColumn>
    <tableColumn id="3" xr3:uid="{E98D4E5B-DF18-4596-AB9A-62FF76F66C07}" name="TransactionID">
      <calculatedColumnFormula>'Raw Data'!A4</calculatedColumnFormula>
    </tableColumn>
    <tableColumn id="4" xr3:uid="{C95F9377-4E67-46CF-8FD3-B02111809103}" name="Performance">
      <calculatedColumnFormula>IF(AND('Raw Data'!I4&gt;=10000,'Raw Data'!J4&gt;=3000),"High Performance","Normal Performance")</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D5FCCE-28DD-4375-82F1-41F098612074}" name="tblTransactions" displayName="tblTransactions" ref="A3:J23" totalsRowShown="0" headerRowDxfId="18" dataDxfId="10">
  <autoFilter ref="A3:J23" xr:uid="{D9D5FCCE-28DD-4375-82F1-41F098612074}"/>
  <tableColumns count="10">
    <tableColumn id="1" xr3:uid="{06260A9B-6E82-4145-824B-8C58AF1304C3}" name="TransactionID" dataDxfId="9"/>
    <tableColumn id="2" xr3:uid="{6506397D-D084-49D8-80E6-535E58A16E6A}" name="Date" dataDxfId="7"/>
    <tableColumn id="3" xr3:uid="{273579E1-EC35-4C03-BDC2-406AA13A0DDF}" name="Customer" dataDxfId="8"/>
    <tableColumn id="4" xr3:uid="{77B4D0F4-47E5-4F7A-BDEA-B0827AF53F1A}" name="Region" dataDxfId="17"/>
    <tableColumn id="5" xr3:uid="{D409FCE0-1728-4659-A30D-B1C079EEA845}" name="Product" dataDxfId="16"/>
    <tableColumn id="6" xr3:uid="{A5B04C7C-ECD8-4F6F-9490-7303D63047E5}" name="Category" dataDxfId="15"/>
    <tableColumn id="7" xr3:uid="{F7637942-8003-4DF4-94F6-A0AD4371FDF1}" name="Quantity" dataDxfId="14"/>
    <tableColumn id="8" xr3:uid="{D58740A8-BC22-448A-90E0-D2BA350EB1E3}" name="UnitPrice" dataDxfId="13"/>
    <tableColumn id="9" xr3:uid="{29338BBA-C71B-4ECE-849E-2DA50A3F1238}" name="Sales" dataDxfId="12"/>
    <tableColumn id="10" xr3:uid="{DB1FD124-6AC6-42AD-8E0D-D821810E8713}" name="Profit" dataDxf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4A267-8DE9-4FA4-AC57-37D650CF9275}">
  <dimension ref="A1:F10"/>
  <sheetViews>
    <sheetView workbookViewId="0">
      <selection activeCell="H13" sqref="H13"/>
    </sheetView>
  </sheetViews>
  <sheetFormatPr defaultRowHeight="14.4" x14ac:dyDescent="0.3"/>
  <cols>
    <col min="1" max="1" width="13.44140625" bestFit="1" customWidth="1"/>
    <col min="2" max="2" width="11.5546875" bestFit="1" customWidth="1"/>
  </cols>
  <sheetData>
    <row r="1" spans="1:6" ht="18" x14ac:dyDescent="0.35">
      <c r="D1" s="4" t="s">
        <v>79</v>
      </c>
      <c r="E1" s="4"/>
      <c r="F1" s="4"/>
    </row>
    <row r="3" spans="1:6" x14ac:dyDescent="0.3">
      <c r="A3" s="10" t="s">
        <v>65</v>
      </c>
      <c r="B3" t="s">
        <v>67</v>
      </c>
    </row>
    <row r="4" spans="1:6" x14ac:dyDescent="0.3">
      <c r="A4" s="11" t="s">
        <v>23</v>
      </c>
      <c r="B4" s="12">
        <v>140600</v>
      </c>
    </row>
    <row r="5" spans="1:6" x14ac:dyDescent="0.3">
      <c r="A5" s="17" t="s">
        <v>36</v>
      </c>
      <c r="B5" s="12">
        <v>16000</v>
      </c>
    </row>
    <row r="6" spans="1:6" x14ac:dyDescent="0.3">
      <c r="A6" s="17" t="s">
        <v>62</v>
      </c>
      <c r="B6" s="12">
        <v>24000</v>
      </c>
    </row>
    <row r="7" spans="1:6" x14ac:dyDescent="0.3">
      <c r="A7" s="17" t="s">
        <v>49</v>
      </c>
      <c r="B7" s="12">
        <v>7000</v>
      </c>
    </row>
    <row r="8" spans="1:6" x14ac:dyDescent="0.3">
      <c r="A8" s="18">
        <v>46143</v>
      </c>
      <c r="B8" s="12">
        <v>3600</v>
      </c>
    </row>
    <row r="9" spans="1:6" x14ac:dyDescent="0.3">
      <c r="A9" s="18">
        <v>46236</v>
      </c>
      <c r="B9" s="12">
        <v>90000</v>
      </c>
    </row>
    <row r="10" spans="1:6" x14ac:dyDescent="0.3">
      <c r="A10" s="11" t="s">
        <v>66</v>
      </c>
      <c r="B10" s="12">
        <v>140600</v>
      </c>
    </row>
  </sheetData>
  <mergeCells count="1">
    <mergeCell ref="D1:F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250DC-9B95-49C5-82CD-CB5BF0AF3EB3}">
  <dimension ref="A1:D7"/>
  <sheetViews>
    <sheetView workbookViewId="0">
      <selection activeCell="E18" sqref="E18"/>
    </sheetView>
  </sheetViews>
  <sheetFormatPr defaultRowHeight="14.4" x14ac:dyDescent="0.3"/>
  <cols>
    <col min="1" max="2" width="12.77734375" customWidth="1"/>
    <col min="3" max="3" width="19.6640625" customWidth="1"/>
  </cols>
  <sheetData>
    <row r="1" spans="1:4" ht="18" x14ac:dyDescent="0.35">
      <c r="A1" s="4" t="s">
        <v>75</v>
      </c>
      <c r="B1" s="4"/>
      <c r="C1" s="4"/>
    </row>
    <row r="3" spans="1:4" ht="15.6" x14ac:dyDescent="0.3">
      <c r="A3" s="13" t="s">
        <v>76</v>
      </c>
      <c r="B3" s="13" t="s">
        <v>77</v>
      </c>
      <c r="C3" s="13" t="s">
        <v>78</v>
      </c>
    </row>
    <row r="4" spans="1:4" x14ac:dyDescent="0.3">
      <c r="A4">
        <f>SUM(tblTransactions[Sales])</f>
        <v>461400</v>
      </c>
      <c r="B4">
        <f>SUM(tblTransactions[Profit])</f>
        <v>74800</v>
      </c>
      <c r="C4">
        <f>COUNTA(tblTransactions[TransactionID])</f>
        <v>20</v>
      </c>
    </row>
    <row r="7" spans="1:4" ht="15.6" x14ac:dyDescent="0.3">
      <c r="A7" s="3" t="s">
        <v>80</v>
      </c>
      <c r="B7" s="3"/>
      <c r="C7" s="3"/>
      <c r="D7" s="3"/>
    </row>
  </sheetData>
  <mergeCells count="2">
    <mergeCell ref="A1:C1"/>
    <mergeCell ref="A7:D7"/>
  </mergeCells>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C5B0C-8DCF-4BC6-8307-C136F39F3241}">
  <dimension ref="A1:A8"/>
  <sheetViews>
    <sheetView workbookViewId="0">
      <selection activeCell="A20" sqref="A20"/>
    </sheetView>
  </sheetViews>
  <sheetFormatPr defaultRowHeight="14.4" x14ac:dyDescent="0.3"/>
  <cols>
    <col min="1" max="1" width="54.77734375" customWidth="1"/>
  </cols>
  <sheetData>
    <row r="1" spans="1:1" ht="18" x14ac:dyDescent="0.35">
      <c r="A1" s="20" t="s">
        <v>81</v>
      </c>
    </row>
    <row r="3" spans="1:1" ht="15" x14ac:dyDescent="0.3">
      <c r="A3" s="19" t="s">
        <v>83</v>
      </c>
    </row>
    <row r="4" spans="1:1" ht="15" x14ac:dyDescent="0.3">
      <c r="A4" s="19" t="s">
        <v>82</v>
      </c>
    </row>
    <row r="5" spans="1:1" ht="15" x14ac:dyDescent="0.3">
      <c r="A5" s="19" t="s">
        <v>84</v>
      </c>
    </row>
    <row r="6" spans="1:1" ht="15" x14ac:dyDescent="0.3">
      <c r="A6" s="19" t="s">
        <v>85</v>
      </c>
    </row>
    <row r="7" spans="1:1" ht="15" x14ac:dyDescent="0.3">
      <c r="A7" s="19" t="s">
        <v>86</v>
      </c>
    </row>
    <row r="8" spans="1:1" ht="15" x14ac:dyDescent="0.3">
      <c r="A8" s="19" t="s">
        <v>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BA3A2-43E3-4E09-BFEE-11A7A4567DA5}">
  <dimension ref="A3:C7"/>
  <sheetViews>
    <sheetView workbookViewId="0">
      <selection activeCell="H20" sqref="H20"/>
    </sheetView>
  </sheetViews>
  <sheetFormatPr defaultRowHeight="14.4" x14ac:dyDescent="0.3"/>
  <cols>
    <col min="1" max="1" width="12.44140625" bestFit="1" customWidth="1"/>
    <col min="2" max="2" width="11.5546875" bestFit="1" customWidth="1"/>
    <col min="3" max="3" width="14.21875" bestFit="1" customWidth="1"/>
  </cols>
  <sheetData>
    <row r="3" spans="1:3" x14ac:dyDescent="0.3">
      <c r="A3" s="10" t="s">
        <v>65</v>
      </c>
      <c r="B3" t="s">
        <v>67</v>
      </c>
      <c r="C3" t="s">
        <v>68</v>
      </c>
    </row>
    <row r="4" spans="1:3" x14ac:dyDescent="0.3">
      <c r="A4" s="11" t="s">
        <v>20</v>
      </c>
      <c r="B4" s="12">
        <v>3600</v>
      </c>
      <c r="C4" s="12">
        <v>3</v>
      </c>
    </row>
    <row r="5" spans="1:3" x14ac:dyDescent="0.3">
      <c r="A5" s="11" t="s">
        <v>15</v>
      </c>
      <c r="B5" s="12">
        <v>114000</v>
      </c>
      <c r="C5" s="12">
        <v>4</v>
      </c>
    </row>
    <row r="6" spans="1:3" x14ac:dyDescent="0.3">
      <c r="A6" s="11" t="s">
        <v>34</v>
      </c>
      <c r="B6" s="12">
        <v>23000</v>
      </c>
      <c r="C6" s="12">
        <v>4</v>
      </c>
    </row>
    <row r="7" spans="1:3" x14ac:dyDescent="0.3">
      <c r="A7" s="11" t="s">
        <v>66</v>
      </c>
      <c r="B7" s="12">
        <v>140600</v>
      </c>
      <c r="C7" s="12">
        <v>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1AC54-D05B-41B3-A1F6-9F4E5C7E36B6}">
  <dimension ref="A1:J23"/>
  <sheetViews>
    <sheetView workbookViewId="0">
      <selection activeCell="D22" sqref="D22"/>
    </sheetView>
  </sheetViews>
  <sheetFormatPr defaultRowHeight="14.4" x14ac:dyDescent="0.3"/>
  <cols>
    <col min="1" max="1" width="15.77734375" customWidth="1"/>
    <col min="2" max="2" width="10.21875" customWidth="1"/>
    <col min="4" max="4" width="14.33203125" customWidth="1"/>
    <col min="5" max="5" width="9.44140625" customWidth="1"/>
    <col min="8" max="8" width="14.21875" customWidth="1"/>
    <col min="9" max="9" width="15.77734375" customWidth="1"/>
    <col min="10" max="10" width="18.109375" customWidth="1"/>
  </cols>
  <sheetData>
    <row r="1" spans="1:10" ht="18" x14ac:dyDescent="0.35">
      <c r="A1" s="4" t="s">
        <v>69</v>
      </c>
      <c r="B1" s="4"/>
      <c r="D1" s="4" t="s">
        <v>71</v>
      </c>
      <c r="E1" s="4"/>
      <c r="G1" s="4" t="s">
        <v>73</v>
      </c>
      <c r="H1" s="4"/>
      <c r="I1" s="4"/>
    </row>
    <row r="3" spans="1:10" ht="15.6" x14ac:dyDescent="0.3">
      <c r="A3" s="13" t="s">
        <v>1</v>
      </c>
      <c r="B3" s="13" t="s">
        <v>5</v>
      </c>
      <c r="D3" s="14" t="s">
        <v>1</v>
      </c>
      <c r="E3" s="14" t="s">
        <v>5</v>
      </c>
      <c r="G3" s="15" t="s">
        <v>10</v>
      </c>
      <c r="H3" s="15" t="s">
        <v>72</v>
      </c>
      <c r="I3" s="15" t="s">
        <v>1</v>
      </c>
      <c r="J3" s="6" t="s">
        <v>74</v>
      </c>
    </row>
    <row r="4" spans="1:10" x14ac:dyDescent="0.3">
      <c r="A4" s="1" t="s">
        <v>29</v>
      </c>
      <c r="B4" s="14" t="str">
        <f>VLOOKUP(A4,'Raw Data'!A:J,5,FALSE)</f>
        <v>Laptop</v>
      </c>
      <c r="D4" t="s">
        <v>70</v>
      </c>
      <c r="E4" t="str">
        <f>IFERROR(INDEX('Raw Data'!E:E,MATCH(SUBSTITUTE(D4,"O","0"),'Raw Data'!A:A,0)),"Not Found")</f>
        <v>Laptop</v>
      </c>
      <c r="G4">
        <f>'Raw Data'!J4</f>
        <v>12000</v>
      </c>
      <c r="H4" t="str">
        <f>IF(G4&gt;=3000,"High Profit","Low Profit")</f>
        <v>High Profit</v>
      </c>
      <c r="I4" t="str">
        <f>'Raw Data'!A4</f>
        <v>T001</v>
      </c>
      <c r="J4" t="str">
        <f>IF(AND('Raw Data'!I4&gt;=10000,'Raw Data'!J4&gt;=3000),"High Performance","Normal Performance")</f>
        <v>High Performance</v>
      </c>
    </row>
    <row r="5" spans="1:10" x14ac:dyDescent="0.3">
      <c r="A5" s="1" t="s">
        <v>45</v>
      </c>
      <c r="B5" s="14" t="str">
        <f>VLOOKUP(A5,'Raw Data'!A:J,5,FALSE)</f>
        <v>Laptop</v>
      </c>
      <c r="D5" t="s">
        <v>45</v>
      </c>
      <c r="E5" t="str">
        <f>IFERROR(INDEX('Raw Data'!E:E,MATCH(SUBSTITUTE(D5,"O","0"),'Raw Data'!A:A,0)),"Not Found")</f>
        <v>Laptop</v>
      </c>
      <c r="G5">
        <f>'Raw Data'!J5</f>
        <v>500</v>
      </c>
      <c r="H5" t="str">
        <f t="shared" ref="H5:H23" si="0">IF(G5&gt;=3000,"High Profit","Low Profit")</f>
        <v>Low Profit</v>
      </c>
      <c r="I5" t="str">
        <f>'Raw Data'!A5</f>
        <v>T002</v>
      </c>
      <c r="J5" t="str">
        <f>IF(AND('Raw Data'!I5&gt;=10000,'Raw Data'!J5&gt;=3000),"High Performance","Normal Performance")</f>
        <v>Normal Performance</v>
      </c>
    </row>
    <row r="6" spans="1:10" x14ac:dyDescent="0.3">
      <c r="A6" s="1" t="s">
        <v>56</v>
      </c>
      <c r="B6" s="14" t="str">
        <f>VLOOKUP(A6,'Raw Data'!A:J,5,FALSE)</f>
        <v>Laptop</v>
      </c>
      <c r="D6" t="s">
        <v>56</v>
      </c>
      <c r="E6" t="str">
        <f>IFERROR(INDEX('Raw Data'!E:E,MATCH(SUBSTITUTE(D6,"O","0"),'Raw Data'!A:A,0)),"Not Found")</f>
        <v>Laptop</v>
      </c>
      <c r="G6">
        <f>'Raw Data'!J6</f>
        <v>900</v>
      </c>
      <c r="H6" t="str">
        <f t="shared" si="0"/>
        <v>Low Profit</v>
      </c>
      <c r="I6" t="str">
        <f>'Raw Data'!A6</f>
        <v>T003</v>
      </c>
      <c r="J6" t="str">
        <f>IF(AND('Raw Data'!I6&gt;=10000,'Raw Data'!J6&gt;=3000),"High Performance","Normal Performance")</f>
        <v>Normal Performance</v>
      </c>
    </row>
    <row r="7" spans="1:10" x14ac:dyDescent="0.3">
      <c r="G7">
        <f>'Raw Data'!J7</f>
        <v>4000</v>
      </c>
      <c r="H7" t="str">
        <f t="shared" si="0"/>
        <v>High Profit</v>
      </c>
      <c r="I7" t="str">
        <f>'Raw Data'!A7</f>
        <v>T004</v>
      </c>
      <c r="J7" t="str">
        <f>IF(AND('Raw Data'!I7&gt;=10000,'Raw Data'!J7&gt;=3000),"High Performance","Normal Performance")</f>
        <v>High Performance</v>
      </c>
    </row>
    <row r="8" spans="1:10" x14ac:dyDescent="0.3">
      <c r="G8">
        <f>'Raw Data'!J8</f>
        <v>6000</v>
      </c>
      <c r="H8" t="str">
        <f t="shared" si="0"/>
        <v>High Profit</v>
      </c>
      <c r="I8" t="str">
        <f>'Raw Data'!A8</f>
        <v>T005</v>
      </c>
      <c r="J8" t="str">
        <f>IF(AND('Raw Data'!I8&gt;=10000,'Raw Data'!J8&gt;=3000),"High Performance","Normal Performance")</f>
        <v>High Performance</v>
      </c>
    </row>
    <row r="9" spans="1:10" x14ac:dyDescent="0.3">
      <c r="G9">
        <f>'Raw Data'!J9</f>
        <v>2800</v>
      </c>
      <c r="H9" t="str">
        <f t="shared" si="0"/>
        <v>Low Profit</v>
      </c>
      <c r="I9" t="str">
        <f>'Raw Data'!A9</f>
        <v>T006</v>
      </c>
      <c r="J9" t="str">
        <f>IF(AND('Raw Data'!I9&gt;=10000,'Raw Data'!J9&gt;=3000),"High Performance","Normal Performance")</f>
        <v>Normal Performance</v>
      </c>
    </row>
    <row r="10" spans="1:10" x14ac:dyDescent="0.3">
      <c r="G10">
        <f>'Raw Data'!J10</f>
        <v>3200</v>
      </c>
      <c r="H10" t="str">
        <f t="shared" si="0"/>
        <v>High Profit</v>
      </c>
      <c r="I10" t="str">
        <f>'Raw Data'!A10</f>
        <v>T007</v>
      </c>
      <c r="J10" t="str">
        <f>IF(AND('Raw Data'!I10&gt;=10000,'Raw Data'!J10&gt;=3000),"High Performance","Normal Performance")</f>
        <v>High Performance</v>
      </c>
    </row>
    <row r="11" spans="1:10" x14ac:dyDescent="0.3">
      <c r="G11">
        <f>'Raw Data'!J11</f>
        <v>600</v>
      </c>
      <c r="H11" t="str">
        <f t="shared" si="0"/>
        <v>Low Profit</v>
      </c>
      <c r="I11" t="str">
        <f>'Raw Data'!A11</f>
        <v>T008</v>
      </c>
      <c r="J11" t="str">
        <f>IF(AND('Raw Data'!I11&gt;=10000,'Raw Data'!J11&gt;=3000),"High Performance","Normal Performance")</f>
        <v>Normal Performance</v>
      </c>
    </row>
    <row r="12" spans="1:10" x14ac:dyDescent="0.3">
      <c r="G12">
        <f>'Raw Data'!J12</f>
        <v>6000</v>
      </c>
      <c r="H12" t="str">
        <f t="shared" si="0"/>
        <v>High Profit</v>
      </c>
      <c r="I12" t="str">
        <f>'Raw Data'!A12</f>
        <v>T009</v>
      </c>
      <c r="J12" t="str">
        <f>IF(AND('Raw Data'!I12&gt;=10000,'Raw Data'!J12&gt;=3000),"High Performance","Normal Performance")</f>
        <v>High Performance</v>
      </c>
    </row>
    <row r="13" spans="1:10" x14ac:dyDescent="0.3">
      <c r="G13">
        <f>'Raw Data'!J13</f>
        <v>7000</v>
      </c>
      <c r="H13" t="str">
        <f t="shared" si="0"/>
        <v>High Profit</v>
      </c>
      <c r="I13" t="str">
        <f>'Raw Data'!A13</f>
        <v>T010</v>
      </c>
      <c r="J13" t="str">
        <f>IF(AND('Raw Data'!I13&gt;=10000,'Raw Data'!J13&gt;=3000),"High Performance","Normal Performance")</f>
        <v>High Performance</v>
      </c>
    </row>
    <row r="14" spans="1:10" x14ac:dyDescent="0.3">
      <c r="G14">
        <f>'Raw Data'!J14</f>
        <v>1400</v>
      </c>
      <c r="H14" t="str">
        <f t="shared" si="0"/>
        <v>Low Profit</v>
      </c>
      <c r="I14" t="str">
        <f>'Raw Data'!A14</f>
        <v>T011</v>
      </c>
      <c r="J14" t="str">
        <f>IF(AND('Raw Data'!I14&gt;=10000,'Raw Data'!J14&gt;=3000),"High Performance","Normal Performance")</f>
        <v>Normal Performance</v>
      </c>
    </row>
    <row r="15" spans="1:10" x14ac:dyDescent="0.3">
      <c r="G15">
        <f>'Raw Data'!J15</f>
        <v>1600</v>
      </c>
      <c r="H15" t="str">
        <f t="shared" si="0"/>
        <v>Low Profit</v>
      </c>
      <c r="I15" t="str">
        <f>'Raw Data'!A15</f>
        <v>T012</v>
      </c>
      <c r="J15" t="str">
        <f>IF(AND('Raw Data'!I15&gt;=10000,'Raw Data'!J15&gt;=3000),"High Performance","Normal Performance")</f>
        <v>Normal Performance</v>
      </c>
    </row>
    <row r="16" spans="1:10" x14ac:dyDescent="0.3">
      <c r="G16">
        <f>'Raw Data'!J16</f>
        <v>1200</v>
      </c>
      <c r="H16" t="str">
        <f t="shared" si="0"/>
        <v>Low Profit</v>
      </c>
      <c r="I16" t="str">
        <f>'Raw Data'!A16</f>
        <v>T013</v>
      </c>
      <c r="J16" t="str">
        <f>IF(AND('Raw Data'!I16&gt;=10000,'Raw Data'!J16&gt;=3000),"High Performance","Normal Performance")</f>
        <v>Normal Performance</v>
      </c>
    </row>
    <row r="17" spans="7:10" x14ac:dyDescent="0.3">
      <c r="G17">
        <f>'Raw Data'!J17</f>
        <v>2000</v>
      </c>
      <c r="H17" t="str">
        <f t="shared" si="0"/>
        <v>Low Profit</v>
      </c>
      <c r="I17" t="str">
        <f>'Raw Data'!A17</f>
        <v>T014</v>
      </c>
      <c r="J17" t="str">
        <f>IF(AND('Raw Data'!I17&gt;=10000,'Raw Data'!J17&gt;=3000),"High Performance","Normal Performance")</f>
        <v>Normal Performance</v>
      </c>
    </row>
    <row r="18" spans="7:10" x14ac:dyDescent="0.3">
      <c r="G18">
        <f>'Raw Data'!J18</f>
        <v>14000</v>
      </c>
      <c r="H18" t="str">
        <f t="shared" si="0"/>
        <v>High Profit</v>
      </c>
      <c r="I18" t="str">
        <f>'Raw Data'!A18</f>
        <v>T015</v>
      </c>
      <c r="J18" t="str">
        <f>IF(AND('Raw Data'!I18&gt;=10000,'Raw Data'!J18&gt;=3000),"High Performance","Normal Performance")</f>
        <v>High Performance</v>
      </c>
    </row>
    <row r="19" spans="7:10" x14ac:dyDescent="0.3">
      <c r="G19">
        <f>'Raw Data'!J19</f>
        <v>2100</v>
      </c>
      <c r="H19" t="str">
        <f t="shared" si="0"/>
        <v>Low Profit</v>
      </c>
      <c r="I19" t="str">
        <f>'Raw Data'!A19</f>
        <v>T016</v>
      </c>
      <c r="J19" t="str">
        <f>IF(AND('Raw Data'!I19&gt;=10000,'Raw Data'!J19&gt;=3000),"High Performance","Normal Performance")</f>
        <v>Normal Performance</v>
      </c>
    </row>
    <row r="20" spans="7:10" x14ac:dyDescent="0.3">
      <c r="G20">
        <f>'Raw Data'!J20</f>
        <v>3200</v>
      </c>
      <c r="H20" t="str">
        <f t="shared" si="0"/>
        <v>High Profit</v>
      </c>
      <c r="I20" t="str">
        <f>'Raw Data'!A20</f>
        <v>T017</v>
      </c>
      <c r="J20" t="str">
        <f>IF(AND('Raw Data'!I20&gt;=10000,'Raw Data'!J20&gt;=3000),"High Performance","Normal Performance")</f>
        <v>High Performance</v>
      </c>
    </row>
    <row r="21" spans="7:10" x14ac:dyDescent="0.3">
      <c r="G21">
        <f>'Raw Data'!J21</f>
        <v>800</v>
      </c>
      <c r="H21" t="str">
        <f t="shared" si="0"/>
        <v>Low Profit</v>
      </c>
      <c r="I21" t="str">
        <f>'Raw Data'!A21</f>
        <v>T018</v>
      </c>
      <c r="J21" t="str">
        <f>IF(AND('Raw Data'!I21&gt;=10000,'Raw Data'!J21&gt;=3000),"High Performance","Normal Performance")</f>
        <v>Normal Performance</v>
      </c>
    </row>
    <row r="22" spans="7:10" x14ac:dyDescent="0.3">
      <c r="G22">
        <f>'Raw Data'!J22</f>
        <v>4000</v>
      </c>
      <c r="H22" t="str">
        <f t="shared" si="0"/>
        <v>High Profit</v>
      </c>
      <c r="I22" t="str">
        <f>'Raw Data'!A22</f>
        <v>T019</v>
      </c>
      <c r="J22" t="str">
        <f>IF(AND('Raw Data'!I22&gt;=10000,'Raw Data'!J22&gt;=3000),"High Performance","Normal Performance")</f>
        <v>High Performance</v>
      </c>
    </row>
    <row r="23" spans="7:10" x14ac:dyDescent="0.3">
      <c r="G23">
        <f>'Raw Data'!J23</f>
        <v>1500</v>
      </c>
      <c r="H23" t="str">
        <f t="shared" si="0"/>
        <v>Low Profit</v>
      </c>
      <c r="I23" t="str">
        <f>'Raw Data'!A23</f>
        <v>T020</v>
      </c>
      <c r="J23" t="str">
        <f>IF(AND('Raw Data'!I23&gt;=10000,'Raw Data'!J23&gt;=3000),"High Performance","Normal Performance")</f>
        <v>Normal Performance</v>
      </c>
    </row>
  </sheetData>
  <mergeCells count="3">
    <mergeCell ref="A1:B1"/>
    <mergeCell ref="D1:E1"/>
    <mergeCell ref="G1:I1"/>
  </mergeCells>
  <phoneticPr fontId="4" type="noConversion"/>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814C6-981D-4AB8-9921-C6129491DBA4}">
  <dimension ref="A1:J32"/>
  <sheetViews>
    <sheetView tabSelected="1" zoomScale="66" workbookViewId="0">
      <selection activeCell="E29" sqref="E29"/>
    </sheetView>
  </sheetViews>
  <sheetFormatPr defaultRowHeight="14.4" x14ac:dyDescent="0.3"/>
  <cols>
    <col min="1" max="1" width="20" customWidth="1"/>
    <col min="2" max="2" width="14" style="5" customWidth="1"/>
    <col min="3" max="3" width="16.77734375" customWidth="1"/>
    <col min="4" max="4" width="12.6640625" customWidth="1"/>
    <col min="5" max="5" width="14.88671875" customWidth="1"/>
    <col min="6" max="6" width="15.21875" customWidth="1"/>
    <col min="7" max="7" width="15" customWidth="1"/>
    <col min="8" max="8" width="15.6640625" customWidth="1"/>
    <col min="9" max="9" width="13.109375" customWidth="1"/>
    <col min="10" max="10" width="12.6640625" customWidth="1"/>
  </cols>
  <sheetData>
    <row r="1" spans="1:10" ht="18" x14ac:dyDescent="0.35">
      <c r="A1" s="4" t="s">
        <v>0</v>
      </c>
      <c r="B1" s="4"/>
      <c r="C1" s="4"/>
      <c r="D1" s="4"/>
      <c r="E1" s="4"/>
    </row>
    <row r="3" spans="1:10" ht="15.6" x14ac:dyDescent="0.3">
      <c r="A3" s="6" t="s">
        <v>1</v>
      </c>
      <c r="B3" s="8" t="s">
        <v>2</v>
      </c>
      <c r="C3" s="6" t="s">
        <v>3</v>
      </c>
      <c r="D3" s="6" t="s">
        <v>4</v>
      </c>
      <c r="E3" s="6" t="s">
        <v>5</v>
      </c>
      <c r="F3" s="6" t="s">
        <v>6</v>
      </c>
      <c r="G3" s="6" t="s">
        <v>7</v>
      </c>
      <c r="H3" s="6" t="s">
        <v>8</v>
      </c>
      <c r="I3" s="6" t="s">
        <v>9</v>
      </c>
      <c r="J3" s="6" t="s">
        <v>10</v>
      </c>
    </row>
    <row r="4" spans="1:10" x14ac:dyDescent="0.3">
      <c r="A4" s="1" t="s">
        <v>11</v>
      </c>
      <c r="B4" s="9">
        <v>46023</v>
      </c>
      <c r="C4" s="1" t="s">
        <v>12</v>
      </c>
      <c r="D4" s="1" t="s">
        <v>13</v>
      </c>
      <c r="E4" s="1" t="s">
        <v>14</v>
      </c>
      <c r="F4" s="1" t="s">
        <v>15</v>
      </c>
      <c r="G4" s="1">
        <v>2</v>
      </c>
      <c r="H4" s="1">
        <v>45000</v>
      </c>
      <c r="I4" s="1">
        <v>90000</v>
      </c>
      <c r="J4" s="1">
        <v>12000</v>
      </c>
    </row>
    <row r="5" spans="1:10" x14ac:dyDescent="0.3">
      <c r="A5" s="1" t="s">
        <v>16</v>
      </c>
      <c r="B5" s="9">
        <v>46082</v>
      </c>
      <c r="C5" s="1" t="s">
        <v>17</v>
      </c>
      <c r="D5" s="1" t="s">
        <v>18</v>
      </c>
      <c r="E5" s="1" t="s">
        <v>19</v>
      </c>
      <c r="F5" s="1" t="s">
        <v>20</v>
      </c>
      <c r="G5" s="1">
        <v>5</v>
      </c>
      <c r="H5" s="1">
        <v>500</v>
      </c>
      <c r="I5" s="1">
        <v>2500</v>
      </c>
      <c r="J5" s="1">
        <v>500</v>
      </c>
    </row>
    <row r="6" spans="1:10" x14ac:dyDescent="0.3">
      <c r="A6" s="1" t="s">
        <v>21</v>
      </c>
      <c r="B6" s="9">
        <v>46143</v>
      </c>
      <c r="C6" s="1" t="s">
        <v>22</v>
      </c>
      <c r="D6" s="1" t="s">
        <v>23</v>
      </c>
      <c r="E6" s="1" t="s">
        <v>24</v>
      </c>
      <c r="F6" s="1" t="s">
        <v>20</v>
      </c>
      <c r="G6" s="1">
        <v>3</v>
      </c>
      <c r="H6" s="1">
        <v>1200</v>
      </c>
      <c r="I6" s="1">
        <v>3600</v>
      </c>
      <c r="J6" s="1">
        <v>900</v>
      </c>
    </row>
    <row r="7" spans="1:10" x14ac:dyDescent="0.3">
      <c r="A7" s="1" t="s">
        <v>25</v>
      </c>
      <c r="B7" s="9">
        <v>46235</v>
      </c>
      <c r="C7" s="1" t="s">
        <v>26</v>
      </c>
      <c r="D7" s="1" t="s">
        <v>27</v>
      </c>
      <c r="E7" s="1" t="s">
        <v>28</v>
      </c>
      <c r="F7" s="1" t="s">
        <v>15</v>
      </c>
      <c r="G7" s="1">
        <v>2</v>
      </c>
      <c r="H7" s="1">
        <v>12000</v>
      </c>
      <c r="I7" s="1">
        <v>24000</v>
      </c>
      <c r="J7" s="1">
        <v>4000</v>
      </c>
    </row>
    <row r="8" spans="1:10" x14ac:dyDescent="0.3">
      <c r="A8" s="1" t="s">
        <v>29</v>
      </c>
      <c r="B8" s="9">
        <v>46296</v>
      </c>
      <c r="C8" s="1" t="s">
        <v>30</v>
      </c>
      <c r="D8" s="1" t="s">
        <v>13</v>
      </c>
      <c r="E8" s="1" t="s">
        <v>14</v>
      </c>
      <c r="F8" s="1" t="s">
        <v>15</v>
      </c>
      <c r="G8" s="1">
        <v>1</v>
      </c>
      <c r="H8" s="1">
        <v>45000</v>
      </c>
      <c r="I8" s="1">
        <v>45000</v>
      </c>
      <c r="J8" s="1">
        <v>6000</v>
      </c>
    </row>
    <row r="9" spans="1:10" x14ac:dyDescent="0.3">
      <c r="A9" s="1" t="s">
        <v>31</v>
      </c>
      <c r="B9" s="9">
        <v>46357</v>
      </c>
      <c r="C9" s="1" t="s">
        <v>32</v>
      </c>
      <c r="D9" s="1" t="s">
        <v>18</v>
      </c>
      <c r="E9" s="1" t="s">
        <v>33</v>
      </c>
      <c r="F9" s="1" t="s">
        <v>34</v>
      </c>
      <c r="G9" s="1">
        <v>4</v>
      </c>
      <c r="H9" s="1">
        <v>3500</v>
      </c>
      <c r="I9" s="1">
        <v>14000</v>
      </c>
      <c r="J9" s="1">
        <v>2800</v>
      </c>
    </row>
    <row r="10" spans="1:10" x14ac:dyDescent="0.3">
      <c r="A10" s="1" t="s">
        <v>35</v>
      </c>
      <c r="B10" s="9" t="s">
        <v>36</v>
      </c>
      <c r="C10" s="1" t="s">
        <v>37</v>
      </c>
      <c r="D10" s="1" t="s">
        <v>23</v>
      </c>
      <c r="E10" s="1" t="s">
        <v>38</v>
      </c>
      <c r="F10" s="1" t="s">
        <v>34</v>
      </c>
      <c r="G10" s="1">
        <v>2</v>
      </c>
      <c r="H10" s="1">
        <v>8000</v>
      </c>
      <c r="I10" s="1">
        <v>16000</v>
      </c>
      <c r="J10" s="1">
        <v>3200</v>
      </c>
    </row>
    <row r="11" spans="1:10" x14ac:dyDescent="0.3">
      <c r="A11" s="1" t="s">
        <v>39</v>
      </c>
      <c r="B11" s="9" t="s">
        <v>40</v>
      </c>
      <c r="C11" s="1" t="s">
        <v>41</v>
      </c>
      <c r="D11" s="1" t="s">
        <v>27</v>
      </c>
      <c r="E11" s="1" t="s">
        <v>19</v>
      </c>
      <c r="F11" s="1" t="s">
        <v>20</v>
      </c>
      <c r="G11" s="1">
        <v>6</v>
      </c>
      <c r="H11" s="1">
        <v>500</v>
      </c>
      <c r="I11" s="1">
        <v>3000</v>
      </c>
      <c r="J11" s="1">
        <v>600</v>
      </c>
    </row>
    <row r="12" spans="1:10" x14ac:dyDescent="0.3">
      <c r="A12" s="1" t="s">
        <v>42</v>
      </c>
      <c r="B12" s="9" t="s">
        <v>43</v>
      </c>
      <c r="C12" s="1" t="s">
        <v>44</v>
      </c>
      <c r="D12" s="1" t="s">
        <v>13</v>
      </c>
      <c r="E12" s="1" t="s">
        <v>28</v>
      </c>
      <c r="F12" s="1" t="s">
        <v>15</v>
      </c>
      <c r="G12" s="1">
        <v>3</v>
      </c>
      <c r="H12" s="1">
        <v>12000</v>
      </c>
      <c r="I12" s="1">
        <v>36000</v>
      </c>
      <c r="J12" s="1">
        <v>6000</v>
      </c>
    </row>
    <row r="13" spans="1:10" x14ac:dyDescent="0.3">
      <c r="A13" s="1" t="s">
        <v>45</v>
      </c>
      <c r="B13" s="9" t="s">
        <v>46</v>
      </c>
      <c r="C13" s="1" t="s">
        <v>47</v>
      </c>
      <c r="D13" s="1" t="s">
        <v>18</v>
      </c>
      <c r="E13" s="1" t="s">
        <v>14</v>
      </c>
      <c r="F13" s="1" t="s">
        <v>15</v>
      </c>
      <c r="G13" s="1">
        <v>1</v>
      </c>
      <c r="H13" s="1">
        <v>45000</v>
      </c>
      <c r="I13" s="1">
        <v>45000</v>
      </c>
      <c r="J13" s="1">
        <v>7000</v>
      </c>
    </row>
    <row r="14" spans="1:10" x14ac:dyDescent="0.3">
      <c r="A14" s="1" t="s">
        <v>48</v>
      </c>
      <c r="B14" s="9" t="s">
        <v>49</v>
      </c>
      <c r="C14" s="1" t="s">
        <v>50</v>
      </c>
      <c r="D14" s="1" t="s">
        <v>23</v>
      </c>
      <c r="E14" s="1" t="s">
        <v>33</v>
      </c>
      <c r="F14" s="1" t="s">
        <v>34</v>
      </c>
      <c r="G14" s="1">
        <v>2</v>
      </c>
      <c r="H14" s="1">
        <v>3500</v>
      </c>
      <c r="I14" s="1">
        <v>7000</v>
      </c>
      <c r="J14" s="1">
        <v>1400</v>
      </c>
    </row>
    <row r="15" spans="1:10" x14ac:dyDescent="0.3">
      <c r="A15" s="1" t="s">
        <v>51</v>
      </c>
      <c r="B15" s="9" t="s">
        <v>52</v>
      </c>
      <c r="C15" s="1" t="s">
        <v>53</v>
      </c>
      <c r="D15" s="1" t="s">
        <v>27</v>
      </c>
      <c r="E15" s="1" t="s">
        <v>38</v>
      </c>
      <c r="F15" s="1" t="s">
        <v>34</v>
      </c>
      <c r="G15" s="1">
        <v>1</v>
      </c>
      <c r="H15" s="1">
        <v>8000</v>
      </c>
      <c r="I15" s="1">
        <v>8000</v>
      </c>
      <c r="J15" s="1">
        <v>1600</v>
      </c>
    </row>
    <row r="16" spans="1:10" x14ac:dyDescent="0.3">
      <c r="A16" s="1" t="s">
        <v>54</v>
      </c>
      <c r="B16" s="9">
        <v>46055</v>
      </c>
      <c r="C16" s="1" t="s">
        <v>12</v>
      </c>
      <c r="D16" s="1" t="s">
        <v>13</v>
      </c>
      <c r="E16" s="1" t="s">
        <v>24</v>
      </c>
      <c r="F16" s="1" t="s">
        <v>20</v>
      </c>
      <c r="G16" s="1">
        <v>4</v>
      </c>
      <c r="H16" s="1">
        <v>1200</v>
      </c>
      <c r="I16" s="1">
        <v>4800</v>
      </c>
      <c r="J16" s="1">
        <v>1200</v>
      </c>
    </row>
    <row r="17" spans="1:10" x14ac:dyDescent="0.3">
      <c r="A17" s="1" t="s">
        <v>55</v>
      </c>
      <c r="B17" s="9">
        <v>46144</v>
      </c>
      <c r="C17" s="1" t="s">
        <v>17</v>
      </c>
      <c r="D17" s="1" t="s">
        <v>18</v>
      </c>
      <c r="E17" s="1" t="s">
        <v>28</v>
      </c>
      <c r="F17" s="1" t="s">
        <v>15</v>
      </c>
      <c r="G17" s="1">
        <v>1</v>
      </c>
      <c r="H17" s="1">
        <v>12000</v>
      </c>
      <c r="I17" s="1">
        <v>12000</v>
      </c>
      <c r="J17" s="1">
        <v>2000</v>
      </c>
    </row>
    <row r="18" spans="1:10" x14ac:dyDescent="0.3">
      <c r="A18" s="1" t="s">
        <v>56</v>
      </c>
      <c r="B18" s="9">
        <v>46236</v>
      </c>
      <c r="C18" s="1" t="s">
        <v>22</v>
      </c>
      <c r="D18" s="1" t="s">
        <v>23</v>
      </c>
      <c r="E18" s="1" t="s">
        <v>14</v>
      </c>
      <c r="F18" s="1" t="s">
        <v>15</v>
      </c>
      <c r="G18" s="1">
        <v>2</v>
      </c>
      <c r="H18" s="1">
        <v>45000</v>
      </c>
      <c r="I18" s="1">
        <v>90000</v>
      </c>
      <c r="J18" s="1">
        <v>14000</v>
      </c>
    </row>
    <row r="19" spans="1:10" x14ac:dyDescent="0.3">
      <c r="A19" s="1" t="s">
        <v>57</v>
      </c>
      <c r="B19" s="9">
        <v>46297</v>
      </c>
      <c r="C19" s="1" t="s">
        <v>26</v>
      </c>
      <c r="D19" s="1" t="s">
        <v>27</v>
      </c>
      <c r="E19" s="1" t="s">
        <v>33</v>
      </c>
      <c r="F19" s="1" t="s">
        <v>34</v>
      </c>
      <c r="G19" s="1">
        <v>3</v>
      </c>
      <c r="H19" s="1">
        <v>3500</v>
      </c>
      <c r="I19" s="1">
        <v>10500</v>
      </c>
      <c r="J19" s="1">
        <v>2100</v>
      </c>
    </row>
    <row r="20" spans="1:10" x14ac:dyDescent="0.3">
      <c r="A20" s="1" t="s">
        <v>58</v>
      </c>
      <c r="B20" s="9">
        <v>46358</v>
      </c>
      <c r="C20" s="1" t="s">
        <v>30</v>
      </c>
      <c r="D20" s="1" t="s">
        <v>13</v>
      </c>
      <c r="E20" s="1" t="s">
        <v>38</v>
      </c>
      <c r="F20" s="1" t="s">
        <v>34</v>
      </c>
      <c r="G20" s="1">
        <v>2</v>
      </c>
      <c r="H20" s="1">
        <v>8000</v>
      </c>
      <c r="I20" s="1">
        <v>16000</v>
      </c>
      <c r="J20" s="1">
        <v>3200</v>
      </c>
    </row>
    <row r="21" spans="1:10" x14ac:dyDescent="0.3">
      <c r="A21" s="1" t="s">
        <v>59</v>
      </c>
      <c r="B21" s="9" t="s">
        <v>60</v>
      </c>
      <c r="C21" s="1" t="s">
        <v>32</v>
      </c>
      <c r="D21" s="1" t="s">
        <v>18</v>
      </c>
      <c r="E21" s="1" t="s">
        <v>19</v>
      </c>
      <c r="F21" s="1" t="s">
        <v>20</v>
      </c>
      <c r="G21" s="1">
        <v>8</v>
      </c>
      <c r="H21" s="1">
        <v>500</v>
      </c>
      <c r="I21" s="1">
        <v>4000</v>
      </c>
      <c r="J21" s="1">
        <v>800</v>
      </c>
    </row>
    <row r="22" spans="1:10" x14ac:dyDescent="0.3">
      <c r="A22" s="1" t="s">
        <v>61</v>
      </c>
      <c r="B22" s="9" t="s">
        <v>62</v>
      </c>
      <c r="C22" s="1" t="s">
        <v>37</v>
      </c>
      <c r="D22" s="1" t="s">
        <v>23</v>
      </c>
      <c r="E22" s="1" t="s">
        <v>28</v>
      </c>
      <c r="F22" s="1" t="s">
        <v>15</v>
      </c>
      <c r="G22" s="1">
        <v>2</v>
      </c>
      <c r="H22" s="1">
        <v>12000</v>
      </c>
      <c r="I22" s="1">
        <v>24000</v>
      </c>
      <c r="J22" s="1">
        <v>4000</v>
      </c>
    </row>
    <row r="23" spans="1:10" x14ac:dyDescent="0.3">
      <c r="A23" s="1" t="s">
        <v>63</v>
      </c>
      <c r="B23" s="9" t="s">
        <v>64</v>
      </c>
      <c r="C23" s="1" t="s">
        <v>41</v>
      </c>
      <c r="D23" s="1" t="s">
        <v>27</v>
      </c>
      <c r="E23" s="1" t="s">
        <v>24</v>
      </c>
      <c r="F23" s="1" t="s">
        <v>20</v>
      </c>
      <c r="G23" s="1">
        <v>5</v>
      </c>
      <c r="H23" s="1">
        <v>1200</v>
      </c>
      <c r="I23" s="1">
        <v>6000</v>
      </c>
      <c r="J23" s="1">
        <v>1500</v>
      </c>
    </row>
    <row r="26" spans="1:10" x14ac:dyDescent="0.3">
      <c r="A26" s="2"/>
      <c r="B26" s="2"/>
      <c r="C26" s="2"/>
      <c r="D26" s="2"/>
      <c r="E26" s="2"/>
      <c r="F26" s="2"/>
      <c r="G26" s="2"/>
      <c r="H26" s="2"/>
    </row>
    <row r="30" spans="1:10" ht="18" x14ac:dyDescent="0.35">
      <c r="B30" s="16"/>
      <c r="C30" s="7"/>
      <c r="D30" s="7"/>
      <c r="E30" s="7"/>
    </row>
    <row r="32" spans="1:10" ht="18" x14ac:dyDescent="0.35">
      <c r="G32" s="7"/>
    </row>
  </sheetData>
  <mergeCells count="2">
    <mergeCell ref="A26:H26"/>
    <mergeCell ref="A1:E1"/>
  </mergeCells>
  <conditionalFormatting sqref="J4:J23">
    <cfRule type="cellIs" dxfId="1" priority="1" operator="greaterThan">
      <formula>3000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Analysis</vt:lpstr>
      <vt:lpstr>Dashboard</vt:lpstr>
      <vt:lpstr>Documentation</vt:lpstr>
      <vt:lpstr>Category Analysis</vt:lpstr>
      <vt:lpstr>Formula Analysis</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Bhavsar Krunal</dc:creator>
  <cp:lastModifiedBy>Bhavsar Krunal</cp:lastModifiedBy>
  <dcterms:created xsi:type="dcterms:W3CDTF">2026-10-28T03:03:11Z</dcterms:created>
  <dcterms:modified xsi:type="dcterms:W3CDTF">2026-10-28T04:42:59Z</dcterms:modified>
</cp:coreProperties>
</file>